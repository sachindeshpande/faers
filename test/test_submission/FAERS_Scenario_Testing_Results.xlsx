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mpirical Policy" sheetId="3" state="visible" r:id="rId3"/>
    <sheet xmlns:r="http://schemas.openxmlformats.org/officeDocument/2006/relationships" name="Submiss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404040"/>
      <sz val="10"/>
    </font>
    <font>
      <name val="Arial"/>
      <b val="1"/>
      <color rgb="00FFFFFF"/>
      <sz val="13"/>
    </font>
    <font>
      <name val="Arial"/>
      <b val="1"/>
      <color rgb="001E6B3C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BF3FB"/>
      </patternFill>
    </fill>
    <fill>
      <patternFill patternType="solid">
        <fgColor rgb="00F0F4FF"/>
      </patternFill>
    </fill>
    <fill>
      <patternFill patternType="solid">
        <fgColor rgb="00F5F0FF"/>
      </patternFill>
    </fill>
    <fill>
      <patternFill patternType="solid">
        <fgColor rgb="00FFF5F0"/>
      </patternFill>
    </fill>
    <fill>
      <patternFill patternType="solid">
        <fgColor rgb="00F0FFF5"/>
      </patternFill>
    </fill>
    <fill>
      <patternFill patternType="solid">
        <fgColor rgb="00FFFFF0"/>
      </patternFill>
    </fill>
    <fill>
      <patternFill patternType="solid">
        <fgColor rgb="00FFF0F5"/>
      </patternFill>
    </fill>
    <fill>
      <patternFill patternType="solid">
        <fgColor rgb="00F0FFFF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1E6B3C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833C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FA3"/>
    <outlinePr summaryBelow="1" summaryRight="1"/>
    <pageSetUpPr/>
  </sheetPr>
  <dimension ref="A1:L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8" customWidth="1" min="3" max="3"/>
    <col width="16" customWidth="1" min="4" max="4"/>
    <col width="26" customWidth="1" min="5" max="5"/>
    <col width="32" customWidth="1" min="6" max="6"/>
    <col width="9" customWidth="1" min="7" max="7"/>
    <col width="11" customWidth="1" min="8" max="8"/>
    <col width="13" customWidth="1" min="9" max="9"/>
    <col width="24" customWidth="1" min="10" max="10"/>
    <col width="20" customWidth="1" min="11" max="11"/>
    <col width="32" customWidth="1" min="12" max="12"/>
  </cols>
  <sheetData>
    <row r="1" ht="28" customHeight="1">
      <c r="A1" s="1" t="inlineStr">
        <is>
          <t>FAERS ZZFDATST — Scenario Testing Results</t>
        </is>
      </c>
    </row>
    <row r="2" ht="22" customHeight="1">
      <c r="A2" s="2" t="inlineStr">
        <is>
          <t>Test ID</t>
        </is>
      </c>
      <c r="B2" s="2" t="inlineStr">
        <is>
          <t>Group</t>
        </is>
      </c>
      <c r="C2" s="2" t="inlineStr">
        <is>
          <t>Description</t>
        </is>
      </c>
      <c r="D2" s="2" t="inlineStr">
        <is>
          <t>E2B Field</t>
        </is>
      </c>
      <c r="E2" s="2" t="inlineStr">
        <is>
          <t>Baseline Value</t>
        </is>
      </c>
      <c r="F2" s="2" t="inlineStr">
        <is>
          <t>Test Value</t>
        </is>
      </c>
      <c r="G2" s="2" t="inlineStr">
        <is>
          <t>Risk</t>
        </is>
      </c>
      <c r="H2" s="2" t="inlineStr">
        <is>
          <t>Status</t>
        </is>
      </c>
      <c r="I2" s="2" t="inlineStr">
        <is>
          <t>ACK3 Result</t>
        </is>
      </c>
      <c r="J2" s="2" t="inlineStr">
        <is>
          <t>Rejection Tags</t>
        </is>
      </c>
      <c r="K2" s="2" t="inlineStr">
        <is>
          <t>Verdict</t>
        </is>
      </c>
      <c r="L2" s="2" t="inlineStr">
        <is>
          <t>Notes</t>
        </is>
      </c>
    </row>
    <row r="3" ht="28" customHeight="1">
      <c r="A3" s="3" t="inlineStr">
        <is>
          <t>TC-A01</t>
        </is>
      </c>
      <c r="B3" s="3" t="inlineStr">
        <is>
          <t>A</t>
        </is>
      </c>
      <c r="C3" s="4" t="inlineStr">
        <is>
          <t>Race — White</t>
        </is>
      </c>
      <c r="D3" s="4" t="inlineStr">
        <is>
          <t>FDA.D.11.r.1</t>
        </is>
      </c>
      <c r="E3" s="4" t="inlineStr">
        <is>
          <t>C41260 (Asian)</t>
        </is>
      </c>
      <c r="F3" s="3" t="inlineStr">
        <is>
          <t>C41261 (White)</t>
        </is>
      </c>
      <c r="G3" s="3" t="inlineStr">
        <is>
          <t>Low</t>
        </is>
      </c>
      <c r="H3" s="3" t="inlineStr">
        <is>
          <t>Pending</t>
        </is>
      </c>
      <c r="I3" s="3" t="inlineStr"/>
      <c r="J3" s="3" t="inlineStr"/>
      <c r="K3" s="3" t="inlineStr"/>
      <c r="L3" s="4" t="inlineStr"/>
    </row>
    <row r="4" ht="28" customHeight="1">
      <c r="A4" s="3" t="inlineStr">
        <is>
          <t>TC-A02</t>
        </is>
      </c>
      <c r="B4" s="3" t="inlineStr">
        <is>
          <t>A</t>
        </is>
      </c>
      <c r="C4" s="4" t="inlineStr">
        <is>
          <t>Race — Black or African American</t>
        </is>
      </c>
      <c r="D4" s="4" t="inlineStr">
        <is>
          <t>FDA.D.11.r.1</t>
        </is>
      </c>
      <c r="E4" s="4" t="inlineStr">
        <is>
          <t>C41260 (Asian)</t>
        </is>
      </c>
      <c r="F4" s="3" t="inlineStr">
        <is>
          <t>C41259 (Black or African American)</t>
        </is>
      </c>
      <c r="G4" s="3" t="inlineStr">
        <is>
          <t>Low</t>
        </is>
      </c>
      <c r="H4" s="3" t="inlineStr">
        <is>
          <t>Pending</t>
        </is>
      </c>
      <c r="I4" s="3" t="inlineStr"/>
      <c r="J4" s="3" t="inlineStr"/>
      <c r="K4" s="3" t="inlineStr"/>
      <c r="L4" s="4" t="inlineStr"/>
    </row>
    <row r="5" ht="28" customHeight="1">
      <c r="A5" s="3" t="inlineStr">
        <is>
          <t>TC-A03</t>
        </is>
      </c>
      <c r="B5" s="3" t="inlineStr">
        <is>
          <t>A</t>
        </is>
      </c>
      <c r="C5" s="4" t="inlineStr">
        <is>
          <t>Race — American Indian or Alaska Native</t>
        </is>
      </c>
      <c r="D5" s="4" t="inlineStr">
        <is>
          <t>FDA.D.11.r.1</t>
        </is>
      </c>
      <c r="E5" s="4" t="inlineStr">
        <is>
          <t>C41260 (Asian)</t>
        </is>
      </c>
      <c r="F5" s="3" t="inlineStr">
        <is>
          <t>C41257 (American Indian or Alaska Native)</t>
        </is>
      </c>
      <c r="G5" s="3" t="inlineStr">
        <is>
          <t>Low</t>
        </is>
      </c>
      <c r="H5" s="3" t="inlineStr">
        <is>
          <t>Pending</t>
        </is>
      </c>
      <c r="I5" s="3" t="inlineStr"/>
      <c r="J5" s="3" t="inlineStr"/>
      <c r="K5" s="3" t="inlineStr"/>
      <c r="L5" s="4" t="inlineStr"/>
    </row>
    <row r="6" ht="28" customHeight="1">
      <c r="A6" s="3" t="inlineStr">
        <is>
          <t>TC-A04</t>
        </is>
      </c>
      <c r="B6" s="3" t="inlineStr">
        <is>
          <t>A</t>
        </is>
      </c>
      <c r="C6" s="4" t="inlineStr">
        <is>
          <t>Race — Native Hawaiian or Other Pacific Islander</t>
        </is>
      </c>
      <c r="D6" s="4" t="inlineStr">
        <is>
          <t>FDA.D.11.r.1</t>
        </is>
      </c>
      <c r="E6" s="4" t="inlineStr">
        <is>
          <t>C41260 (Asian)</t>
        </is>
      </c>
      <c r="F6" s="3" t="inlineStr">
        <is>
          <t>C41258 (Native Hawaiian or Other Pacific Islander)</t>
        </is>
      </c>
      <c r="G6" s="3" t="inlineStr">
        <is>
          <t>Low</t>
        </is>
      </c>
      <c r="H6" s="3" t="inlineStr">
        <is>
          <t>Pending</t>
        </is>
      </c>
      <c r="I6" s="3" t="inlineStr"/>
      <c r="J6" s="3" t="inlineStr"/>
      <c r="K6" s="3" t="inlineStr"/>
      <c r="L6" s="4" t="inlineStr"/>
    </row>
    <row r="7" ht="28" customHeight="1">
      <c r="A7" s="3" t="inlineStr">
        <is>
          <t>TC-A05</t>
        </is>
      </c>
      <c r="B7" s="3" t="inlineStr">
        <is>
          <t>A</t>
        </is>
      </c>
      <c r="C7" s="4" t="inlineStr">
        <is>
          <t>Ethnicity — Hispanic or Latino</t>
        </is>
      </c>
      <c r="D7" s="4" t="inlineStr">
        <is>
          <t>FDA.D.12</t>
        </is>
      </c>
      <c r="E7" s="4" t="inlineStr">
        <is>
          <t>C41222 (Not Hispanic)</t>
        </is>
      </c>
      <c r="F7" s="3" t="inlineStr">
        <is>
          <t>C17459 (Hispanic or Latino)</t>
        </is>
      </c>
      <c r="G7" s="3" t="inlineStr">
        <is>
          <t>Low</t>
        </is>
      </c>
      <c r="H7" s="3" t="inlineStr">
        <is>
          <t>Completed</t>
        </is>
      </c>
      <c r="I7" s="3" t="inlineStr">
        <is>
          <t>CA+AA</t>
        </is>
      </c>
      <c r="J7" s="3" t="inlineStr">
        <is>
          <t>None</t>
        </is>
      </c>
      <c r="K7" s="3" t="inlineStr">
        <is>
          <t>PROVEN ACCEPTED</t>
        </is>
      </c>
      <c r="L7" s="4" t="inlineStr">
        <is>
          <t>ACK ci260423000420, Apr 22 2026</t>
        </is>
      </c>
    </row>
    <row r="8" ht="28" customHeight="1">
      <c r="A8" s="3" t="inlineStr">
        <is>
          <t>TC-A06</t>
        </is>
      </c>
      <c r="B8" s="3" t="inlineStr">
        <is>
          <t>A</t>
        </is>
      </c>
      <c r="C8" s="4" t="inlineStr">
        <is>
          <t>Ethnicity — nullFlavor NI</t>
        </is>
      </c>
      <c r="D8" s="4" t="inlineStr">
        <is>
          <t>FDA.D.12</t>
        </is>
      </c>
      <c r="E8" s="4" t="inlineStr">
        <is>
          <t>C41222 (Not Hispanic)</t>
        </is>
      </c>
      <c r="F8" s="3" t="inlineStr">
        <is>
          <t>nullFlavor=NI</t>
        </is>
      </c>
      <c r="G8" s="3" t="inlineStr">
        <is>
          <t>Medium</t>
        </is>
      </c>
      <c r="H8" s="3" t="inlineStr">
        <is>
          <t>Pending</t>
        </is>
      </c>
      <c r="I8" s="3" t="inlineStr"/>
      <c r="J8" s="3" t="inlineStr"/>
      <c r="K8" s="3" t="inlineStr"/>
      <c r="L8" s="4" t="inlineStr">
        <is>
          <t>Expected to reject based on race NI history</t>
        </is>
      </c>
    </row>
    <row r="9" ht="28" customHeight="1">
      <c r="A9" s="5" t="inlineStr">
        <is>
          <t>TC-B01</t>
        </is>
      </c>
      <c r="B9" s="5" t="inlineStr">
        <is>
          <t>B</t>
        </is>
      </c>
      <c r="C9" s="6" t="inlineStr">
        <is>
          <t>Med History — Empty String</t>
        </is>
      </c>
      <c r="D9" s="6" t="inlineStr">
        <is>
          <t>D.7.2</t>
        </is>
      </c>
      <c r="E9" s="6" t="inlineStr">
        <is>
          <t>"None reported"</t>
        </is>
      </c>
      <c r="F9" s="5" t="inlineStr">
        <is>
          <t>Empty &lt;value xsi:type="ED"/&gt;</t>
        </is>
      </c>
      <c r="G9" s="5" t="inlineStr">
        <is>
          <t>Medium</t>
        </is>
      </c>
      <c r="H9" s="5" t="inlineStr">
        <is>
          <t>Pending</t>
        </is>
      </c>
      <c r="I9" s="5" t="inlineStr"/>
      <c r="J9" s="5" t="inlineStr"/>
      <c r="K9" s="5" t="inlineStr"/>
      <c r="L9" s="6" t="inlineStr"/>
    </row>
    <row r="10" ht="28" customHeight="1">
      <c r="A10" s="5" t="inlineStr">
        <is>
          <t>TC-B02</t>
        </is>
      </c>
      <c r="B10" s="5" t="inlineStr">
        <is>
          <t>B</t>
        </is>
      </c>
      <c r="C10" s="6" t="inlineStr">
        <is>
          <t>Med History — Structured Narrative</t>
        </is>
      </c>
      <c r="D10" s="6" t="inlineStr">
        <is>
          <t>D.7.2</t>
        </is>
      </c>
      <c r="E10" s="6" t="inlineStr">
        <is>
          <t>"None reported"</t>
        </is>
      </c>
      <c r="F10" s="5" t="inlineStr">
        <is>
          <t>"Hypertension (ongoing, controlled with Lisinopril)"</t>
        </is>
      </c>
      <c r="G10" s="5" t="inlineStr">
        <is>
          <t>Low</t>
        </is>
      </c>
      <c r="H10" s="5" t="inlineStr">
        <is>
          <t>Pending</t>
        </is>
      </c>
      <c r="I10" s="5" t="inlineStr"/>
      <c r="J10" s="5" t="inlineStr"/>
      <c r="K10" s="5" t="inlineStr"/>
      <c r="L10" s="6" t="inlineStr">
        <is>
          <t>v37 used full narrative and was accepted</t>
        </is>
      </c>
    </row>
    <row r="11" ht="28" customHeight="1">
      <c r="A11" s="7" t="inlineStr">
        <is>
          <t>TC-C01</t>
        </is>
      </c>
      <c r="B11" s="7" t="inlineStr">
        <is>
          <t>C</t>
        </is>
      </c>
      <c r="C11" s="8" t="inlineStr">
        <is>
          <t>Reporter Qualification — code 2</t>
        </is>
      </c>
      <c r="D11" s="8" t="inlineStr">
        <is>
          <t>C.3.1</t>
        </is>
      </c>
      <c r="E11" s="8" t="inlineStr">
        <is>
          <t>code=1 (Pharma company)</t>
        </is>
      </c>
      <c r="F11" s="7" t="inlineStr">
        <is>
          <t>code=2 (Regulatory authority)</t>
        </is>
      </c>
      <c r="G11" s="7" t="inlineStr">
        <is>
          <t>Medium</t>
        </is>
      </c>
      <c r="H11" s="7" t="inlineStr">
        <is>
          <t>Pending</t>
        </is>
      </c>
      <c r="I11" s="7" t="inlineStr"/>
      <c r="J11" s="7" t="inlineStr"/>
      <c r="K11" s="7" t="inlineStr"/>
      <c r="L11" s="8" t="inlineStr">
        <is>
          <t>OID 2.16.840.1.113883.3.989.2.1.1.7</t>
        </is>
      </c>
    </row>
    <row r="12" ht="28" customHeight="1">
      <c r="A12" s="7" t="inlineStr">
        <is>
          <t>TC-C02</t>
        </is>
      </c>
      <c r="B12" s="7" t="inlineStr">
        <is>
          <t>C</t>
        </is>
      </c>
      <c r="C12" s="8" t="inlineStr">
        <is>
          <t>Reporter Qualification — code 3 (Health professional)</t>
        </is>
      </c>
      <c r="D12" s="8" t="inlineStr">
        <is>
          <t>C.3.1</t>
        </is>
      </c>
      <c r="E12" s="8" t="inlineStr">
        <is>
          <t>code=1</t>
        </is>
      </c>
      <c r="F12" s="7" t="inlineStr">
        <is>
          <t>code=3 (Health professional)</t>
        </is>
      </c>
      <c r="G12" s="7" t="inlineStr">
        <is>
          <t>Low</t>
        </is>
      </c>
      <c r="H12" s="7" t="inlineStr">
        <is>
          <t>Pending</t>
        </is>
      </c>
      <c r="I12" s="7" t="inlineStr"/>
      <c r="J12" s="7" t="inlineStr"/>
      <c r="K12" s="7" t="inlineStr"/>
      <c r="L12" s="8" t="inlineStr">
        <is>
          <t>Submit after TC-C01</t>
        </is>
      </c>
    </row>
    <row r="13" ht="28" customHeight="1">
      <c r="A13" s="9" t="inlineStr">
        <is>
          <t>TC-D01</t>
        </is>
      </c>
      <c r="B13" s="9" t="inlineStr">
        <is>
          <t>D</t>
        </is>
      </c>
      <c r="C13" s="10" t="inlineStr">
        <is>
          <t>Drug ActionTaken — code 2 (dose reduced)</t>
        </is>
      </c>
      <c r="D13" s="10" t="inlineStr">
        <is>
          <t>G.k.8</t>
        </is>
      </c>
      <c r="E13" s="10" t="inlineStr">
        <is>
          <t>code=1 (drug withdrawn)</t>
        </is>
      </c>
      <c r="F13" s="9" t="inlineStr">
        <is>
          <t>code=2 (dose reduced)</t>
        </is>
      </c>
      <c r="G13" s="9" t="inlineStr">
        <is>
          <t>Low</t>
        </is>
      </c>
      <c r="H13" s="9" t="inlineStr">
        <is>
          <t>Pending</t>
        </is>
      </c>
      <c r="I13" s="9" t="inlineStr"/>
      <c r="J13" s="9" t="inlineStr"/>
      <c r="K13" s="9" t="inlineStr"/>
      <c r="L13" s="10" t="inlineStr">
        <is>
          <t>Suspect drug only</t>
        </is>
      </c>
    </row>
    <row r="14" ht="28" customHeight="1">
      <c r="A14" s="9" t="inlineStr">
        <is>
          <t>TC-D02</t>
        </is>
      </c>
      <c r="B14" s="9" t="inlineStr">
        <is>
          <t>D</t>
        </is>
      </c>
      <c r="C14" s="10" t="inlineStr">
        <is>
          <t>Drug ActionTaken — code 3 (dose increased)</t>
        </is>
      </c>
      <c r="D14" s="10" t="inlineStr">
        <is>
          <t>G.k.8</t>
        </is>
      </c>
      <c r="E14" s="10" t="inlineStr">
        <is>
          <t>code=1</t>
        </is>
      </c>
      <c r="F14" s="9" t="inlineStr">
        <is>
          <t>code=3 (dose increased)</t>
        </is>
      </c>
      <c r="G14" s="9" t="inlineStr">
        <is>
          <t>Low</t>
        </is>
      </c>
      <c r="H14" s="9" t="inlineStr">
        <is>
          <t>Pending</t>
        </is>
      </c>
      <c r="I14" s="9" t="inlineStr"/>
      <c r="J14" s="9" t="inlineStr"/>
      <c r="K14" s="9" t="inlineStr"/>
      <c r="L14" s="10" t="inlineStr"/>
    </row>
    <row r="15" ht="28" customHeight="1">
      <c r="A15" s="9" t="inlineStr">
        <is>
          <t>TC-D03</t>
        </is>
      </c>
      <c r="B15" s="9" t="inlineStr">
        <is>
          <t>D</t>
        </is>
      </c>
      <c r="C15" s="10" t="inlineStr">
        <is>
          <t>Drug ActionTaken — code 5 (not applicable)</t>
        </is>
      </c>
      <c r="D15" s="10" t="inlineStr">
        <is>
          <t>G.k.8</t>
        </is>
      </c>
      <c r="E15" s="10" t="inlineStr">
        <is>
          <t>code=1</t>
        </is>
      </c>
      <c r="F15" s="9" t="inlineStr">
        <is>
          <t>code=5 (not applicable)</t>
        </is>
      </c>
      <c r="G15" s="9" t="inlineStr">
        <is>
          <t>Low</t>
        </is>
      </c>
      <c r="H15" s="9" t="inlineStr">
        <is>
          <t>Pending</t>
        </is>
      </c>
      <c r="I15" s="9" t="inlineStr"/>
      <c r="J15" s="9" t="inlineStr"/>
      <c r="K15" s="9" t="inlineStr"/>
      <c r="L15" s="10" t="inlineStr"/>
    </row>
    <row r="16" ht="28" customHeight="1">
      <c r="A16" s="9" t="inlineStr">
        <is>
          <t>TC-D04</t>
        </is>
      </c>
      <c r="B16" s="9" t="inlineStr">
        <is>
          <t>D</t>
        </is>
      </c>
      <c r="C16" s="10" t="inlineStr">
        <is>
          <t>Dechallenge — code 1 (yes)</t>
        </is>
      </c>
      <c r="D16" s="10" t="inlineStr">
        <is>
          <t>G.k.9.i.3.1b</t>
        </is>
      </c>
      <c r="E16" s="10" t="inlineStr">
        <is>
          <t>code=3 (not applicable)</t>
        </is>
      </c>
      <c r="F16" s="9" t="inlineStr">
        <is>
          <t>code=1 (yes — abated after withdrawal)</t>
        </is>
      </c>
      <c r="G16" s="9" t="inlineStr">
        <is>
          <t>Low</t>
        </is>
      </c>
      <c r="H16" s="9" t="inlineStr">
        <is>
          <t>Pending</t>
        </is>
      </c>
      <c r="I16" s="9" t="inlineStr"/>
      <c r="J16" s="9" t="inlineStr"/>
      <c r="K16" s="9" t="inlineStr"/>
      <c r="L16" s="10" t="inlineStr">
        <is>
          <t>Suspect drug only</t>
        </is>
      </c>
    </row>
    <row r="17" ht="28" customHeight="1">
      <c r="A17" s="9" t="inlineStr">
        <is>
          <t>TC-D05</t>
        </is>
      </c>
      <c r="B17" s="9" t="inlineStr">
        <is>
          <t>D</t>
        </is>
      </c>
      <c r="C17" s="10" t="inlineStr">
        <is>
          <t>Two suspect drugs</t>
        </is>
      </c>
      <c r="D17" s="10" t="inlineStr">
        <is>
          <t>G.k (multiple)</t>
        </is>
      </c>
      <c r="E17" s="10" t="inlineStr">
        <is>
          <t>1 suspect + 1 concomitant</t>
        </is>
      </c>
      <c r="F17" s="9" t="inlineStr">
        <is>
          <t>2 suspects + 1 concomitant</t>
        </is>
      </c>
      <c r="G17" s="9" t="inlineStr">
        <is>
          <t>Medium</t>
        </is>
      </c>
      <c r="H17" s="9" t="inlineStr">
        <is>
          <t>Pending</t>
        </is>
      </c>
      <c r="I17" s="9" t="inlineStr"/>
      <c r="J17" s="9" t="inlineStr"/>
      <c r="K17" s="9" t="inlineStr"/>
      <c r="L17" s="10" t="inlineStr">
        <is>
          <t>Element count will deviate from 296 baseline</t>
        </is>
      </c>
    </row>
    <row r="18" ht="28" customHeight="1">
      <c r="A18" s="9" t="inlineStr">
        <is>
          <t>TC-D06</t>
        </is>
      </c>
      <c r="B18" s="9" t="inlineStr">
        <is>
          <t>D</t>
        </is>
      </c>
      <c r="C18" s="10" t="inlineStr">
        <is>
          <t>Concomitant ActionTaken — code 6 (unknown)</t>
        </is>
      </c>
      <c r="D18" s="10" t="inlineStr">
        <is>
          <t>G.k.8</t>
        </is>
      </c>
      <c r="E18" s="10" t="inlineStr">
        <is>
          <t>code=4 (dose not changed)</t>
        </is>
      </c>
      <c r="F18" s="9" t="inlineStr">
        <is>
          <t>code=6 (unknown)</t>
        </is>
      </c>
      <c r="G18" s="9" t="inlineStr">
        <is>
          <t>Low</t>
        </is>
      </c>
      <c r="H18" s="9" t="inlineStr">
        <is>
          <t>Pending</t>
        </is>
      </c>
      <c r="I18" s="9" t="inlineStr"/>
      <c r="J18" s="9" t="inlineStr"/>
      <c r="K18" s="9" t="inlineStr"/>
      <c r="L18" s="10" t="inlineStr">
        <is>
          <t>Concomitant drug only</t>
        </is>
      </c>
    </row>
    <row r="19" ht="28" customHeight="1">
      <c r="A19" s="11" t="inlineStr">
        <is>
          <t>TC-E01</t>
        </is>
      </c>
      <c r="B19" s="11" t="inlineStr">
        <is>
          <t>E</t>
        </is>
      </c>
      <c r="C19" s="12" t="inlineStr">
        <is>
          <t>Patient weight — absent</t>
        </is>
      </c>
      <c r="D19" s="12" t="inlineStr">
        <is>
          <t>D.6</t>
        </is>
      </c>
      <c r="E19" s="12" t="inlineStr">
        <is>
          <t>82 kg present</t>
        </is>
      </c>
      <c r="F19" s="11" t="inlineStr">
        <is>
          <t>Weight block removed</t>
        </is>
      </c>
      <c r="G19" s="11" t="inlineStr">
        <is>
          <t>Medium</t>
        </is>
      </c>
      <c r="H19" s="11" t="inlineStr">
        <is>
          <t>Pending</t>
        </is>
      </c>
      <c r="I19" s="11" t="inlineStr"/>
      <c r="J19" s="11" t="inlineStr"/>
      <c r="K19" s="11" t="inlineStr"/>
      <c r="L19" s="12" t="inlineStr">
        <is>
          <t>Element count drops to 293</t>
        </is>
      </c>
    </row>
    <row r="20" ht="28" customHeight="1">
      <c r="A20" s="11" t="inlineStr">
        <is>
          <t>TC-E02</t>
        </is>
      </c>
      <c r="B20" s="11" t="inlineStr">
        <is>
          <t>E</t>
        </is>
      </c>
      <c r="C20" s="12" t="inlineStr">
        <is>
          <t>Patient birthTime — nullFlavor UNK</t>
        </is>
      </c>
      <c r="D20" s="12" t="inlineStr">
        <is>
          <t>D.3</t>
        </is>
      </c>
      <c r="E20" s="12" t="inlineStr">
        <is>
          <t>birthTime value=19750615</t>
        </is>
      </c>
      <c r="F20" s="11" t="inlineStr">
        <is>
          <t>birthTime nullFlavor=UNK</t>
        </is>
      </c>
      <c r="G20" s="11" t="inlineStr">
        <is>
          <t>Medium</t>
        </is>
      </c>
      <c r="H20" s="11" t="inlineStr">
        <is>
          <t>Pending</t>
        </is>
      </c>
      <c r="I20" s="11" t="inlineStr"/>
      <c r="J20" s="11" t="inlineStr"/>
      <c r="K20" s="11" t="inlineStr"/>
      <c r="L20" s="12" t="inlineStr">
        <is>
          <t>Age observation (50y) still present</t>
        </is>
      </c>
    </row>
    <row r="21" ht="28" customHeight="1">
      <c r="A21" s="11" t="inlineStr">
        <is>
          <t>TC-E03</t>
        </is>
      </c>
      <c r="B21" s="11" t="inlineStr">
        <is>
          <t>E</t>
        </is>
      </c>
      <c r="C21" s="12" t="inlineStr">
        <is>
          <t>Patient sex — Female</t>
        </is>
      </c>
      <c r="D21" s="12" t="inlineStr">
        <is>
          <t>D.2</t>
        </is>
      </c>
      <c r="E21" s="12" t="inlineStr">
        <is>
          <t>code=1 (Male)</t>
        </is>
      </c>
      <c r="F21" s="11" t="inlineStr">
        <is>
          <t>code=2 (Female)</t>
        </is>
      </c>
      <c r="G21" s="11" t="inlineStr">
        <is>
          <t>Low</t>
        </is>
      </c>
      <c r="H21" s="11" t="inlineStr">
        <is>
          <t>Pending</t>
        </is>
      </c>
      <c r="I21" s="11" t="inlineStr"/>
      <c r="J21" s="11" t="inlineStr"/>
      <c r="K21" s="11" t="inlineStr"/>
      <c r="L21" s="12" t="inlineStr"/>
    </row>
    <row r="22" ht="28" customHeight="1">
      <c r="A22" s="13" t="inlineStr">
        <is>
          <t>TC-F01</t>
        </is>
      </c>
      <c r="B22" s="13" t="inlineStr">
        <is>
          <t>F</t>
        </is>
      </c>
      <c r="C22" s="14" t="inlineStr">
        <is>
          <t>Follow-up / Amendment (version 3)</t>
        </is>
      </c>
      <c r="D22" s="14" t="inlineStr">
        <is>
          <t>C.1.9</t>
        </is>
      </c>
      <c r="E22" s="14" t="inlineStr">
        <is>
          <t>version=2 (initial)</t>
        </is>
      </c>
      <c r="F22" s="13" t="inlineStr">
        <is>
          <t>version=3 (follow-up)</t>
        </is>
      </c>
      <c r="G22" s="13" t="inlineStr">
        <is>
          <t>High</t>
        </is>
      </c>
      <c r="H22" s="13" t="inlineStr">
        <is>
          <t>Pending</t>
        </is>
      </c>
      <c r="I22" s="13" t="inlineStr"/>
      <c r="J22" s="13" t="inlineStr"/>
      <c r="K22" s="13" t="inlineStr"/>
      <c r="L22" s="14" t="inlineStr">
        <is>
          <t>Must reference prior CA+AA case SR-CASE-20260421-2L8T</t>
        </is>
      </c>
    </row>
    <row r="23" ht="28" customHeight="1">
      <c r="A23" s="13" t="inlineStr">
        <is>
          <t>TC-F02</t>
        </is>
      </c>
      <c r="B23" s="13" t="inlineStr">
        <is>
          <t>F</t>
        </is>
      </c>
      <c r="C23" s="14" t="inlineStr">
        <is>
          <t>Combination product indicator — true</t>
        </is>
      </c>
      <c r="D23" s="14" t="inlineStr">
        <is>
          <t>C156384</t>
        </is>
      </c>
      <c r="E23" s="14" t="inlineStr">
        <is>
          <t>false</t>
        </is>
      </c>
      <c r="F23" s="13" t="inlineStr">
        <is>
          <t>true</t>
        </is>
      </c>
      <c r="G23" s="13" t="inlineStr">
        <is>
          <t>Low</t>
        </is>
      </c>
      <c r="H23" s="13" t="inlineStr">
        <is>
          <t>Pending</t>
        </is>
      </c>
      <c r="I23" s="13" t="inlineStr"/>
      <c r="J23" s="13" t="inlineStr"/>
      <c r="K23" s="13" t="inlineStr"/>
      <c r="L23" s="14" t="inlineStr">
        <is>
          <t>BL flag toggle</t>
        </is>
      </c>
    </row>
    <row r="24" ht="28" customHeight="1">
      <c r="A24" s="13" t="inlineStr">
        <is>
          <t>TC-F03</t>
        </is>
      </c>
      <c r="B24" s="13" t="inlineStr">
        <is>
          <t>F</t>
        </is>
      </c>
      <c r="C24" s="14" t="inlineStr">
        <is>
          <t>Local expedited criteria — false</t>
        </is>
      </c>
      <c r="D24" s="14" t="inlineStr">
        <is>
          <t>C.1.7</t>
        </is>
      </c>
      <c r="E24" s="14" t="inlineStr">
        <is>
          <t>true (15-Day)</t>
        </is>
      </c>
      <c r="F24" s="13" t="inlineStr">
        <is>
          <t>false (non-expedited)</t>
        </is>
      </c>
      <c r="G24" s="13" t="inlineStr">
        <is>
          <t>Medium</t>
        </is>
      </c>
      <c r="H24" s="13" t="inlineStr">
        <is>
          <t>Pending</t>
        </is>
      </c>
      <c r="I24" s="13" t="inlineStr"/>
      <c r="J24" s="13" t="inlineStr"/>
      <c r="K24" s="13" t="inlineStr"/>
      <c r="L24" s="14" t="inlineStr">
        <is>
          <t>Remove localCriteriaReportType block when false</t>
        </is>
      </c>
    </row>
    <row r="25" ht="28" customHeight="1">
      <c r="A25" s="13" t="inlineStr">
        <is>
          <t>TC-F04</t>
        </is>
      </c>
      <c r="B25" s="13" t="inlineStr">
        <is>
          <t>F</t>
        </is>
      </c>
      <c r="C25" s="14" t="inlineStr">
        <is>
          <t>ICH report type — code 2 (study)</t>
        </is>
      </c>
      <c r="D25" s="14" t="inlineStr">
        <is>
          <t>N.1.1</t>
        </is>
      </c>
      <c r="E25" s="14" t="inlineStr">
        <is>
          <t>code=1 (Spontaneous)</t>
        </is>
      </c>
      <c r="F25" s="13" t="inlineStr">
        <is>
          <t>code=2 (Report from study)</t>
        </is>
      </c>
      <c r="G25" s="13" t="inlineStr">
        <is>
          <t>High</t>
        </is>
      </c>
      <c r="H25" s="13" t="inlineStr">
        <is>
          <t>Pending</t>
        </is>
      </c>
      <c r="I25" s="13" t="inlineStr"/>
      <c r="J25" s="13" t="inlineStr"/>
      <c r="K25" s="13" t="inlineStr"/>
      <c r="L25" s="14" t="inlineStr">
        <is>
          <t>May require additional study-specific fields</t>
        </is>
      </c>
    </row>
    <row r="26" ht="28" customHeight="1">
      <c r="A26" s="15" t="inlineStr">
        <is>
          <t>TC-G01</t>
        </is>
      </c>
      <c r="B26" s="15" t="inlineStr">
        <is>
          <t>G</t>
        </is>
      </c>
      <c r="C26" s="16" t="inlineStr">
        <is>
          <t>All seriousness flags false</t>
        </is>
      </c>
      <c r="D26" s="16" t="inlineStr">
        <is>
          <t>E.i.3.1–E.i.3.6</t>
        </is>
      </c>
      <c r="E26" s="16" t="inlineStr">
        <is>
          <t>otherMedImportant=true</t>
        </is>
      </c>
      <c r="F26" s="15" t="inlineStr">
        <is>
          <t>All 6 BL flags=false</t>
        </is>
      </c>
      <c r="G26" s="15" t="inlineStr">
        <is>
          <t>Medium</t>
        </is>
      </c>
      <c r="H26" s="15" t="inlineStr">
        <is>
          <t>Pending</t>
        </is>
      </c>
      <c r="I26" s="15" t="inlineStr"/>
      <c r="J26" s="15" t="inlineStr"/>
      <c r="K26" s="15" t="inlineStr"/>
      <c r="L26" s="16" t="inlineStr">
        <is>
          <t>Remove C83121 block; element count drops</t>
        </is>
      </c>
    </row>
    <row r="27" ht="28" customHeight="1">
      <c r="A27" s="15" t="inlineStr">
        <is>
          <t>TC-G02</t>
        </is>
      </c>
      <c r="B27" s="15" t="inlineStr">
        <is>
          <t>G</t>
        </is>
      </c>
      <c r="C27" s="16" t="inlineStr">
        <is>
          <t>Reaction outcome — code 2 (recovering)</t>
        </is>
      </c>
      <c r="D27" s="16" t="inlineStr">
        <is>
          <t>E.i.7</t>
        </is>
      </c>
      <c r="E27" s="16" t="inlineStr">
        <is>
          <t>code=1 (recovered)</t>
        </is>
      </c>
      <c r="F27" s="15" t="inlineStr">
        <is>
          <t>code=2 (recovering/resolving)</t>
        </is>
      </c>
      <c r="G27" s="15" t="inlineStr">
        <is>
          <t>Low</t>
        </is>
      </c>
      <c r="H27" s="15" t="inlineStr">
        <is>
          <t>Pending</t>
        </is>
      </c>
      <c r="I27" s="15" t="inlineStr"/>
      <c r="J27" s="15" t="inlineStr"/>
      <c r="K27" s="15" t="inlineStr"/>
      <c r="L27" s="16" t="inlineStr"/>
    </row>
    <row r="28" ht="28" customHeight="1">
      <c r="A28" s="15" t="inlineStr">
        <is>
          <t>TC-G03</t>
        </is>
      </c>
      <c r="B28" s="15" t="inlineStr">
        <is>
          <t>G</t>
        </is>
      </c>
      <c r="C28" s="16" t="inlineStr">
        <is>
          <t>Reaction outcome — code 4 (with sequelae)</t>
        </is>
      </c>
      <c r="D28" s="16" t="inlineStr">
        <is>
          <t>E.i.7</t>
        </is>
      </c>
      <c r="E28" s="16" t="inlineStr">
        <is>
          <t>code=1</t>
        </is>
      </c>
      <c r="F28" s="15" t="inlineStr">
        <is>
          <t>code=4 (recovered with sequelae)</t>
        </is>
      </c>
      <c r="G28" s="15" t="inlineStr">
        <is>
          <t>Low</t>
        </is>
      </c>
      <c r="H28" s="15" t="inlineStr">
        <is>
          <t>Pending</t>
        </is>
      </c>
      <c r="I28" s="15" t="inlineStr"/>
      <c r="J28" s="15" t="inlineStr"/>
      <c r="K28" s="15" t="inlineStr"/>
      <c r="L28" s="16" t="inlineStr"/>
    </row>
    <row r="29" ht="28" customHeight="1">
      <c r="A29" s="15" t="inlineStr">
        <is>
          <t>TC-G04</t>
        </is>
      </c>
      <c r="B29" s="15" t="inlineStr">
        <is>
          <t>G</t>
        </is>
      </c>
      <c r="C29" s="16" t="inlineStr">
        <is>
          <t>Reaction outcome — code 5 (fatal)</t>
        </is>
      </c>
      <c r="D29" s="16" t="inlineStr">
        <is>
          <t>E.i.7</t>
        </is>
      </c>
      <c r="E29" s="16" t="inlineStr">
        <is>
          <t>code=1</t>
        </is>
      </c>
      <c r="F29" s="15" t="inlineStr">
        <is>
          <t>code=5 (fatal)</t>
        </is>
      </c>
      <c r="G29" s="15" t="inlineStr">
        <is>
          <t>Medium</t>
        </is>
      </c>
      <c r="H29" s="15" t="inlineStr">
        <is>
          <t>Pending</t>
        </is>
      </c>
      <c r="I29" s="15" t="inlineStr"/>
      <c r="J29" s="15" t="inlineStr"/>
      <c r="K29" s="15" t="inlineStr"/>
      <c r="L29" s="16" t="inlineStr">
        <is>
          <t>Also set resultsInDeath=true</t>
        </is>
      </c>
    </row>
    <row r="30" ht="28" customHeight="1">
      <c r="A30" s="17" t="inlineStr">
        <is>
          <t>TC-H01</t>
        </is>
      </c>
      <c r="B30" s="17" t="inlineStr">
        <is>
          <t>H</t>
        </is>
      </c>
      <c r="C30" s="18" t="inlineStr">
        <is>
          <t>Additional documents available — true</t>
        </is>
      </c>
      <c r="D30" s="18" t="inlineStr">
        <is>
          <t>C.1.6.1</t>
        </is>
      </c>
      <c r="E30" s="18" t="inlineStr">
        <is>
          <t>false</t>
        </is>
      </c>
      <c r="F30" s="17" t="inlineStr">
        <is>
          <t>true</t>
        </is>
      </c>
      <c r="G30" s="17" t="inlineStr">
        <is>
          <t>Low</t>
        </is>
      </c>
      <c r="H30" s="17" t="inlineStr">
        <is>
          <t>Pending</t>
        </is>
      </c>
      <c r="I30" s="17" t="inlineStr"/>
      <c r="J30" s="17" t="inlineStr"/>
      <c r="K30" s="17" t="inlineStr"/>
      <c r="L30" s="18" t="inlineStr">
        <is>
          <t>BL toggle; no structural change</t>
        </is>
      </c>
    </row>
    <row r="31" ht="28" customHeight="1">
      <c r="A31" s="17" t="inlineStr">
        <is>
          <t>TC-H02</t>
        </is>
      </c>
      <c r="B31" s="17" t="inlineStr">
        <is>
          <t>H</t>
        </is>
      </c>
      <c r="C31" s="18" t="inlineStr">
        <is>
          <t>asLocatedEntity absent</t>
        </is>
      </c>
      <c r="D31" s="18" t="inlineStr">
        <is>
          <t>C.3.4.6</t>
        </is>
      </c>
      <c r="E31" s="18" t="inlineStr">
        <is>
          <t>asLocatedEntity present</t>
        </is>
      </c>
      <c r="F31" s="17" t="inlineStr">
        <is>
          <t>Remove asLocatedEntity block</t>
        </is>
      </c>
      <c r="G31" s="17" t="inlineStr">
        <is>
          <t>Medium</t>
        </is>
      </c>
      <c r="H31" s="17" t="inlineStr">
        <is>
          <t>Pending</t>
        </is>
      </c>
      <c r="I31" s="17" t="inlineStr"/>
      <c r="J31" s="17" t="inlineStr"/>
      <c r="K31" s="17" t="inlineStr"/>
      <c r="L31" s="18" t="inlineStr">
        <is>
          <t>Element count drops by 3</t>
        </is>
      </c>
    </row>
    <row r="32" ht="28" customHeight="1">
      <c r="A32" s="17" t="inlineStr">
        <is>
          <t>TC-H03</t>
        </is>
      </c>
      <c r="B32" s="17" t="inlineStr">
        <is>
          <t>H</t>
        </is>
      </c>
      <c r="C32" s="18" t="inlineStr">
        <is>
          <t>Outer org name changed</t>
        </is>
      </c>
      <c r="D32" s="18" t="inlineStr">
        <is>
          <t>C.3.3.5</t>
        </is>
      </c>
      <c r="E32" s="18" t="inlineStr">
        <is>
          <t>"Drug Safety"</t>
        </is>
      </c>
      <c r="F32" s="17" t="inlineStr">
        <is>
          <t>"Pharmacovigilance"</t>
        </is>
      </c>
      <c r="G32" s="17" t="inlineStr">
        <is>
          <t>Medium</t>
        </is>
      </c>
      <c r="H32" s="17" t="inlineStr">
        <is>
          <t>Pending</t>
        </is>
      </c>
      <c r="I32" s="17" t="inlineStr"/>
      <c r="J32" s="17" t="inlineStr"/>
      <c r="K32" s="17" t="inlineStr"/>
      <c r="L32" s="18" t="inlineStr">
        <is>
          <t>Tests whether literal name is required</t>
        </is>
      </c>
    </row>
  </sheetData>
  <mergeCells count="1">
    <mergeCell ref="A1:L1"/>
  </mergeCells>
  <conditionalFormatting sqref="I3:I32">
    <cfRule type="containsText" priority="1" operator="containsText" dxfId="0" text="CA+AA">
      <formula>NOT(ISERROR(SEARCH("CA+AA",I3)))</formula>
    </cfRule>
    <cfRule type="containsText" priority="2" operator="containsText" dxfId="1" text="CR+AR">
      <formula>NOT(ISERROR(SEARCH("CR+AR",I3)))</formula>
    </cfRule>
  </conditionalFormatting>
  <conditionalFormatting sqref="K3:K32">
    <cfRule type="containsText" priority="3" operator="containsText" dxfId="0" text="PROVEN ACCEPTED">
      <formula>NOT(ISERROR(SEARCH("PROVEN ACCEPTED",K3)))</formula>
    </cfRule>
    <cfRule type="containsText" priority="4" operator="containsText" dxfId="1" text="PROVEN REJECTED">
      <formula>NOT(ISERROR(SEARCH("PROVEN REJECTED",K3)))</formula>
    </cfRule>
  </conditionalFormatting>
  <conditionalFormatting sqref="G3:G32">
    <cfRule type="containsText" priority="5" operator="containsText" dxfId="1" text="High">
      <formula>NOT(ISERROR(SEARCH("High",G3)))</formula>
    </cfRule>
    <cfRule type="containsText" priority="6" operator="containsText" dxfId="2" text="Medium">
      <formula>NOT(ISERROR(SEARCH("Medium",G3)))</formula>
    </cfRule>
  </conditionalFormatting>
  <dataValidations count="3">
    <dataValidation sqref="H3:H32" showDropDown="0" showInputMessage="0" showErrorMessage="0" allowBlank="1" type="list">
      <formula1>"Pending,In Progress,Completed"</formula1>
    </dataValidation>
    <dataValidation sqref="I3:I32" showDropDown="0" showInputMessage="0" showErrorMessage="0" allowBlank="1" type="list">
      <formula1>"CA+AA,CR+AR,N/A"</formula1>
    </dataValidation>
    <dataValidation sqref="K3:K32" showDropDown="0" showInputMessage="0" showErrorMessage="0" allowBlank="1" type="list">
      <formula1>"PROVEN ACCEPTED,PROVEN REJECTED,PENDING"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6B3C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" customWidth="1" min="3" max="3"/>
    <col width="26" customWidth="1" min="4" max="4"/>
    <col width="14" customWidth="1" min="5" max="5"/>
  </cols>
  <sheetData>
    <row r="1" ht="28" customHeight="1">
      <c r="A1" s="1" t="inlineStr">
        <is>
          <t>FAERS Scenario Testing — Summary Dashboard</t>
        </is>
      </c>
    </row>
    <row r="2" ht="20" customHeight="1">
      <c r="A2" s="2" t="inlineStr">
        <is>
          <t>Metric</t>
        </is>
      </c>
      <c r="B2" s="2" t="inlineStr">
        <is>
          <t>Count</t>
        </is>
      </c>
      <c r="D2" s="2" t="inlineStr">
        <is>
          <t>Group</t>
        </is>
      </c>
      <c r="E2" s="2" t="inlineStr">
        <is>
          <t>CA+AA Count</t>
        </is>
      </c>
    </row>
    <row r="3" ht="20" customHeight="1">
      <c r="A3" s="19" t="inlineStr">
        <is>
          <t>Total Test Cases</t>
        </is>
      </c>
      <c r="B3" s="20">
        <f>COUNTA('Test Results'!A3:A32)</f>
        <v/>
      </c>
      <c r="D3" s="19" t="inlineStr">
        <is>
          <t>A — Race / Ethnicity</t>
        </is>
      </c>
      <c r="E3" s="20">
        <f>COUNTIFS('Test Results'!B3:B32,"A",'Test Results'!I3:I32,"CA+AA")</f>
        <v/>
      </c>
    </row>
    <row r="4" ht="20" customHeight="1">
      <c r="A4" s="4" t="inlineStr">
        <is>
          <t>Completed</t>
        </is>
      </c>
      <c r="B4" s="21">
        <f>COUNTIF('Test Results'!H3:H32,"Completed")</f>
        <v/>
      </c>
      <c r="D4" s="4" t="inlineStr">
        <is>
          <t>B — Med History</t>
        </is>
      </c>
      <c r="E4" s="21">
        <f>COUNTIFS('Test Results'!B3:B32,"B",'Test Results'!I3:I32,"CA+AA")</f>
        <v/>
      </c>
    </row>
    <row r="5" ht="20" customHeight="1">
      <c r="A5" s="19" t="inlineStr">
        <is>
          <t>In Progress</t>
        </is>
      </c>
      <c r="B5" s="20">
        <f>COUNTIF('Test Results'!H3:H32,"In Progress")</f>
        <v/>
      </c>
      <c r="D5" s="19" t="inlineStr">
        <is>
          <t>C — Reporter Qual</t>
        </is>
      </c>
      <c r="E5" s="20">
        <f>COUNTIFS('Test Results'!B3:B32,"C",'Test Results'!I3:I32,"CA+AA")</f>
        <v/>
      </c>
    </row>
    <row r="6" ht="20" customHeight="1">
      <c r="A6" s="4" t="inlineStr">
        <is>
          <t>Pending</t>
        </is>
      </c>
      <c r="B6" s="21">
        <f>COUNTIF('Test Results'!H3:H32,"Pending")</f>
        <v/>
      </c>
      <c r="D6" s="4" t="inlineStr">
        <is>
          <t>D — Drug Fields</t>
        </is>
      </c>
      <c r="E6" s="21">
        <f>COUNTIFS('Test Results'!B3:B32,"D",'Test Results'!I3:I32,"CA+AA")</f>
        <v/>
      </c>
    </row>
    <row r="7" ht="20" customHeight="1">
      <c r="A7" s="19" t="inlineStr">
        <is>
          <t>CA+AA (Accepted)</t>
        </is>
      </c>
      <c r="B7" s="20">
        <f>COUNTIF('Test Results'!I3:I32,"CA+AA")</f>
        <v/>
      </c>
      <c r="D7" s="19" t="inlineStr">
        <is>
          <t>E — Patient Demographics</t>
        </is>
      </c>
      <c r="E7" s="20">
        <f>COUNTIFS('Test Results'!B3:B32,"E",'Test Results'!I3:I32,"CA+AA")</f>
        <v/>
      </c>
    </row>
    <row r="8" ht="20" customHeight="1">
      <c r="A8" s="4" t="inlineStr">
        <is>
          <t>CR+AR (Rejected)</t>
        </is>
      </c>
      <c r="B8" s="21">
        <f>COUNTIF('Test Results'!I3:I32,"CR+AR")</f>
        <v/>
      </c>
      <c r="D8" s="4" t="inlineStr">
        <is>
          <t>F — Case-Level Fields</t>
        </is>
      </c>
      <c r="E8" s="21">
        <f>COUNTIFS('Test Results'!B3:B32,"F",'Test Results'!I3:I32,"CA+AA")</f>
        <v/>
      </c>
    </row>
    <row r="9" ht="20" customHeight="1">
      <c r="A9" s="19" t="inlineStr">
        <is>
          <t>PROVEN ACCEPTED</t>
        </is>
      </c>
      <c r="B9" s="20">
        <f>COUNTIF('Test Results'!K3:K32,"PROVEN ACCEPTED")</f>
        <v/>
      </c>
      <c r="D9" s="19" t="inlineStr">
        <is>
          <t>G — Seriousness / Outcome</t>
        </is>
      </c>
      <c r="E9" s="20">
        <f>COUNTIFS('Test Results'!B3:B32,"G",'Test Results'!I3:I32,"CA+AA")</f>
        <v/>
      </c>
    </row>
    <row r="10" ht="20" customHeight="1">
      <c r="A10" s="4" t="inlineStr">
        <is>
          <t>PROVEN REJECTED</t>
        </is>
      </c>
      <c r="B10" s="21">
        <f>COUNTIF('Test Results'!K3:K32,"PROVEN REJECTED")</f>
        <v/>
      </c>
      <c r="D10" s="4" t="inlineStr">
        <is>
          <t>H — Structural Variants</t>
        </is>
      </c>
      <c r="E10" s="21">
        <f>COUNTIFS('Test Results'!B3:B32,"H",'Test Results'!I3:I32,"CA+AA")</f>
        <v/>
      </c>
    </row>
  </sheetData>
  <mergeCells count="1">
    <mergeCell ref="A1:E1"/>
  </mergeCells>
  <conditionalFormatting sqref="B7">
    <cfRule type="cellIs" priority="1" operator="greaterThan" dxfId="0">
      <formula>0</formula>
    </cfRule>
  </conditionalFormatting>
  <conditionalFormatting sqref="B8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18" customWidth="1" min="4" max="4"/>
    <col width="50" customWidth="1" min="5" max="5"/>
    <col width="14" customWidth="1" min="6" max="6"/>
  </cols>
  <sheetData>
    <row r="1" ht="28" customHeight="1">
      <c r="A1" s="22" t="inlineStr">
        <is>
          <t>FAERS Empirical Value Policy — Ground Truth (Do Not Submit Rejected Values)</t>
        </is>
      </c>
    </row>
    <row r="2" ht="22" customHeight="1">
      <c r="A2" s="2" t="inlineStr">
        <is>
          <t>Field / Rule</t>
        </is>
      </c>
      <c r="B2" s="2" t="inlineStr">
        <is>
          <t>REJECTED Values</t>
        </is>
      </c>
      <c r="C2" s="2" t="inlineStr">
        <is>
          <t>ACCEPTED Values</t>
        </is>
      </c>
      <c r="D2" s="2" t="inlineStr">
        <is>
          <t>Status</t>
        </is>
      </c>
      <c r="E2" s="2" t="inlineStr">
        <is>
          <t>Evidence</t>
        </is>
      </c>
      <c r="F2" s="2" t="inlineStr">
        <is>
          <t>Last Updated</t>
        </is>
      </c>
    </row>
    <row r="3" ht="36" customHeight="1">
      <c r="A3" s="19" t="inlineStr">
        <is>
          <t>Race  C17049 / FDA.D.11.r.1</t>
        </is>
      </c>
      <c r="B3" s="19" t="inlineStr">
        <is>
          <t>nullFlavor=NI, C17998 (Unknown)</t>
        </is>
      </c>
      <c r="C3" s="19" t="inlineStr">
        <is>
          <t>C41260 (Asian) ✓</t>
        </is>
      </c>
      <c r="D3" s="23" t="inlineStr">
        <is>
          <t>ACTIVE</t>
        </is>
      </c>
      <c r="E3" s="19" t="inlineStr">
        <is>
          <t>QTXZ(NI→reject), 26ZL(C17998→reject), v37+2L8T(C41260→accept)</t>
        </is>
      </c>
      <c r="F3" s="19" t="inlineStr">
        <is>
          <t>2026-04-21</t>
        </is>
      </c>
    </row>
    <row r="4" ht="36" customHeight="1">
      <c r="A4" s="4" t="inlineStr">
        <is>
          <t>Ethnicity  C16564 / FDA.D.12</t>
        </is>
      </c>
      <c r="B4" s="4" t="inlineStr">
        <is>
          <t>C17998 (Unknown)</t>
        </is>
      </c>
      <c r="C4" s="4" t="inlineStr">
        <is>
          <t>C41222 (Not Hispanic) ✓
C17459 (Hispanic) ✓</t>
        </is>
      </c>
      <c r="D4" s="23" t="inlineStr">
        <is>
          <t>ACTIVE</t>
        </is>
      </c>
      <c r="E4" s="4" t="inlineStr">
        <is>
          <t>26ZL(C17998→reject), v37+2L8T(C41222→accept), RSJK(C17459→accept)</t>
        </is>
      </c>
      <c r="F4" s="4" t="inlineStr">
        <is>
          <t>2026-04-22</t>
        </is>
      </c>
    </row>
    <row r="5" ht="36" customHeight="1">
      <c r="A5" s="19" t="inlineStr">
        <is>
          <t>Med History  code=18 / D.7.2</t>
        </is>
      </c>
      <c r="B5" s="19" t="inlineStr">
        <is>
          <t>nullFlavor=NI</t>
        </is>
      </c>
      <c r="C5" s="19" t="inlineStr">
        <is>
          <t>"None reported" ✓
Free-text narrative ✓</t>
        </is>
      </c>
      <c r="D5" s="23" t="inlineStr">
        <is>
          <t>ACTIVE</t>
        </is>
      </c>
      <c r="E5" s="19" t="inlineStr">
        <is>
          <t>QTXZ(NI→reject), 26ZL+2L8T("None reported"→accept), v37(narrative→accept)</t>
        </is>
      </c>
      <c r="F5" s="19" t="inlineStr">
        <is>
          <t>2026-04-21</t>
        </is>
      </c>
    </row>
    <row r="6" ht="36" customHeight="1">
      <c r="A6" s="4" t="inlineStr">
        <is>
          <t>otherCaseIds BL</t>
        </is>
      </c>
      <c r="B6" s="4" t="inlineStr">
        <is>
          <t>—</t>
        </is>
      </c>
      <c r="C6" s="4" t="inlineStr">
        <is>
          <t>nullFlavor=NI ✓</t>
        </is>
      </c>
      <c r="D6" s="23" t="inlineStr">
        <is>
          <t>ACTIVE</t>
        </is>
      </c>
      <c r="E6" s="4" t="inlineStr">
        <is>
          <t>v37+2L8T(NI→accept)</t>
        </is>
      </c>
      <c r="F6" s="4" t="inlineStr">
        <is>
          <t>2026-04-21</t>
        </is>
      </c>
    </row>
    <row r="7" ht="36" customHeight="1">
      <c r="A7" s="19" t="inlineStr">
        <is>
          <t>Reaction outcome  code=27 / E.i.7</t>
        </is>
      </c>
      <c r="B7" s="19" t="inlineStr">
        <is>
          <t>—</t>
        </is>
      </c>
      <c r="C7" s="19" t="inlineStr">
        <is>
          <t>code=1 (recovered) ✓
code=3 (ongoing) ✓</t>
        </is>
      </c>
      <c r="D7" s="23" t="inlineStr">
        <is>
          <t>ACTIVE</t>
        </is>
      </c>
      <c r="E7" s="19" t="inlineStr">
        <is>
          <t>2L8T(code=1→accept), v37(code=3→accept)</t>
        </is>
      </c>
      <c r="F7" s="19" t="inlineStr">
        <is>
          <t>2026-04-21</t>
        </is>
      </c>
    </row>
    <row r="8" ht="36" customHeight="1">
      <c r="A8" s="4" t="inlineStr">
        <is>
          <t>Reaction hospitalization BL</t>
        </is>
      </c>
      <c r="B8" s="4" t="inlineStr">
        <is>
          <t>—</t>
        </is>
      </c>
      <c r="C8" s="4" t="inlineStr">
        <is>
          <t>true ✓, false ✓</t>
        </is>
      </c>
      <c r="D8" s="23" t="inlineStr">
        <is>
          <t>ACTIVE</t>
        </is>
      </c>
      <c r="E8" s="4" t="inlineStr">
        <is>
          <t>v37(true→accept), 2L8T(false→accept)</t>
        </is>
      </c>
      <c r="F8" s="4" t="inlineStr">
        <is>
          <t>2026-04-21</t>
        </is>
      </c>
    </row>
    <row r="9" ht="36" customHeight="1">
      <c r="A9" s="19" t="inlineStr">
        <is>
          <t>Reaction otherMedImportant BL</t>
        </is>
      </c>
      <c r="B9" s="19" t="inlineStr">
        <is>
          <t>—</t>
        </is>
      </c>
      <c r="C9" s="19" t="inlineStr">
        <is>
          <t>true ✓, false ✓</t>
        </is>
      </c>
      <c r="D9" s="23" t="inlineStr">
        <is>
          <t>ACTIVE</t>
        </is>
      </c>
      <c r="E9" s="19" t="inlineStr">
        <is>
          <t>v37(true→accept), 2L8T(false→accept)</t>
        </is>
      </c>
      <c r="F9" s="19" t="inlineStr">
        <is>
          <t>2026-04-21</t>
        </is>
      </c>
    </row>
    <row r="10" ht="36" customHeight="1">
      <c r="A10" s="4" t="inlineStr">
        <is>
          <t>Reaction C49489 Outcome</t>
        </is>
      </c>
      <c r="B10" s="4" t="inlineStr">
        <is>
          <t>—</t>
        </is>
      </c>
      <c r="C10" s="4" t="inlineStr">
        <is>
          <t>code=1 ✓, code=6 ✓</t>
        </is>
      </c>
      <c r="D10" s="23" t="inlineStr">
        <is>
          <t>ACTIVE</t>
        </is>
      </c>
      <c r="E10" s="4" t="inlineStr">
        <is>
          <t>v37(6→accept), 2L8T(1→accept)</t>
        </is>
      </c>
      <c r="F10" s="4" t="inlineStr">
        <is>
          <t>2026-04-21</t>
        </is>
      </c>
    </row>
    <row r="11" ht="36" customHeight="1">
      <c r="A11" s="19" t="inlineStr">
        <is>
          <t>Reporter qual OID .1.7</t>
        </is>
      </c>
      <c r="B11" s="19" t="inlineStr">
        <is>
          <t>—</t>
        </is>
      </c>
      <c r="C11" s="19" t="inlineStr">
        <is>
          <t>code=1 (Pharma company) ✓</t>
        </is>
      </c>
      <c r="D11" s="23" t="inlineStr">
        <is>
          <t>ACTIVE</t>
        </is>
      </c>
      <c r="E11" s="19" t="inlineStr">
        <is>
          <t>v37+2L8T(code=1→accept)</t>
        </is>
      </c>
      <c r="F11" s="19" t="inlineStr">
        <is>
          <t>2026-04-21</t>
        </is>
      </c>
    </row>
    <row r="12" ht="36" customHeight="1">
      <c r="A12" s="4" t="inlineStr">
        <is>
          <t>Reporter org structure</t>
        </is>
      </c>
      <c r="B12" s="4" t="inlineStr">
        <is>
          <t>Flat single-level</t>
        </is>
      </c>
      <c r="C12" s="4" t="inlineStr">
        <is>
          <t>Nested 2-level ✓</t>
        </is>
      </c>
      <c r="D12" s="23" t="inlineStr">
        <is>
          <t>ACTIVE</t>
        </is>
      </c>
      <c r="E12" s="4" t="inlineStr">
        <is>
          <t>v30–v36(flat→C.3.2 fail), v37+2L8T(nested→accept)</t>
        </is>
      </c>
      <c r="F12" s="4" t="inlineStr">
        <is>
          <t>2026-04-21</t>
        </is>
      </c>
    </row>
    <row r="13" ht="36" customHeight="1">
      <c r="A13" s="19" t="inlineStr">
        <is>
          <t>Drug effectiveTime (start/end)</t>
        </is>
      </c>
      <c r="B13" s="19" t="inlineStr">
        <is>
          <t>—</t>
        </is>
      </c>
      <c r="C13" s="19" t="inlineStr">
        <is>
          <t>OPTIONAL (absent accepted) ✓</t>
        </is>
      </c>
      <c r="D13" s="23" t="inlineStr">
        <is>
          <t>ACTIVE</t>
        </is>
      </c>
      <c r="E13" s="19" t="inlineStr">
        <is>
          <t>RSJK(absent→accept); previously assumed required</t>
        </is>
      </c>
      <c r="F13" s="19" t="inlineStr">
        <is>
          <t>2026-04-22</t>
        </is>
      </c>
    </row>
    <row r="14" ht="36" customHeight="1">
      <c r="A14" s="4" t="inlineStr">
        <is>
          <t>CE displayName attribute</t>
        </is>
      </c>
      <c r="B14" s="4" t="inlineStr">
        <is>
          <t>—</t>
        </is>
      </c>
      <c r="C14" s="4" t="inlineStr">
        <is>
          <t>OPTIONAL (absent accepted) ✓</t>
        </is>
      </c>
      <c r="D14" s="23" t="inlineStr">
        <is>
          <t>ACTIVE</t>
        </is>
      </c>
      <c r="E14" s="4" t="inlineStr">
        <is>
          <t>RSJK(absent on race/ethnicity→accept)</t>
        </is>
      </c>
      <c r="F14" s="4" t="inlineStr">
        <is>
          <t>2026-04-22</t>
        </is>
      </c>
    </row>
    <row r="15" ht="36" customHeight="1">
      <c r="A15" s="19" t="inlineStr">
        <is>
          <t>SR-number format</t>
        </is>
      </c>
      <c r="B15" s="19" t="inlineStr">
        <is>
          <t>—</t>
        </is>
      </c>
      <c r="C15" s="19" t="inlineStr">
        <is>
          <t>Free-form string ✓</t>
        </is>
      </c>
      <c r="D15" s="23" t="inlineStr">
        <is>
          <t>ACTIVE</t>
        </is>
      </c>
      <c r="E15" s="19" t="inlineStr">
        <is>
          <t>RSJK(placeholder SR-CASE-EXAMPLE-TCA05→accept)</t>
        </is>
      </c>
      <c r="F15" s="19" t="inlineStr">
        <is>
          <t>2026-04-22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50" customWidth="1" min="4" max="4"/>
    <col width="14" customWidth="1" min="5" max="5"/>
    <col width="28" customWidth="1" min="6" max="6"/>
    <col width="28" customWidth="1" min="7" max="7"/>
    <col width="30" customWidth="1" min="8" max="8"/>
  </cols>
  <sheetData>
    <row r="1" ht="28" customHeight="1">
      <c r="A1" s="1" t="inlineStr">
        <is>
          <t>FAERS ZZFDATST — Submission Log</t>
        </is>
      </c>
    </row>
    <row r="2" ht="22" customHeight="1">
      <c r="A2" s="2" t="inlineStr">
        <is>
          <t>Date Submitted</t>
        </is>
      </c>
      <c r="B2" s="2" t="inlineStr">
        <is>
          <t>Case ID</t>
        </is>
      </c>
      <c r="C2" s="2" t="inlineStr">
        <is>
          <t>Test ID(s)</t>
        </is>
      </c>
      <c r="D2" s="2" t="inlineStr">
        <is>
          <t>ACK File</t>
        </is>
      </c>
      <c r="E2" s="2" t="inlineStr">
        <is>
          <t>ACK3 Result</t>
        </is>
      </c>
      <c r="F2" s="2" t="inlineStr">
        <is>
          <t>Rejection Tags</t>
        </is>
      </c>
      <c r="G2" s="2" t="inlineStr">
        <is>
          <t>Action Taken</t>
        </is>
      </c>
      <c r="H2" s="2" t="inlineStr">
        <is>
          <t>Notes</t>
        </is>
      </c>
    </row>
    <row r="3" ht="36" customHeight="1">
      <c r="A3" s="24" t="inlineStr">
        <is>
          <t>2026-04-10</t>
        </is>
      </c>
      <c r="B3" s="24" t="inlineStr">
        <is>
          <t>CASE-20260331-EMJQ (v37)</t>
        </is>
      </c>
      <c r="C3" s="24" t="inlineStr">
        <is>
          <t>—  (Golden ref)</t>
        </is>
      </c>
      <c r="D3" s="24" t="inlineStr">
        <is>
          <t>ci260410020531</t>
        </is>
      </c>
      <c r="E3" s="24" t="inlineStr">
        <is>
          <t>CA+AA</t>
        </is>
      </c>
      <c r="F3" s="24" t="inlineStr">
        <is>
          <t>None</t>
        </is>
      </c>
      <c r="G3" s="24" t="inlineStr">
        <is>
          <t>Golden reference established</t>
        </is>
      </c>
      <c r="H3" s="24" t="inlineStr">
        <is>
          <t>Manual XML; nested org + subjectOf1 position proven</t>
        </is>
      </c>
    </row>
    <row r="4" ht="36" customHeight="1">
      <c r="A4" s="24" t="inlineStr">
        <is>
          <t>2026-04-21</t>
        </is>
      </c>
      <c r="B4" s="24" t="inlineStr">
        <is>
          <t>CASE-20260421-2L8T</t>
        </is>
      </c>
      <c r="C4" s="24" t="inlineStr">
        <is>
          <t>—  (Baseline)</t>
        </is>
      </c>
      <c r="D4" s="24" t="inlineStr">
        <is>
          <t>ci260421211040</t>
        </is>
      </c>
      <c r="E4" s="24" t="inlineStr">
        <is>
          <t>CA+AA</t>
        </is>
      </c>
      <c r="F4" s="24" t="inlineStr">
        <is>
          <t>None</t>
        </is>
      </c>
      <c r="G4" s="24" t="inlineStr">
        <is>
          <t>Baseline app submission confirmed</t>
        </is>
      </c>
      <c r="H4" s="24" t="inlineStr">
        <is>
          <t>First app-generated CA+AA; 296 elements</t>
        </is>
      </c>
    </row>
    <row r="5" ht="36" customHeight="1">
      <c r="A5" s="24" t="inlineStr">
        <is>
          <t>2026-04-22</t>
        </is>
      </c>
      <c r="B5" s="24" t="inlineStr">
        <is>
          <t>CASE-20260422-RSJK</t>
        </is>
      </c>
      <c r="C5" s="24" t="inlineStr">
        <is>
          <t>TC-A05</t>
        </is>
      </c>
      <c r="D5" s="24" t="inlineStr">
        <is>
          <t>ci260423000420</t>
        </is>
      </c>
      <c r="E5" s="24" t="inlineStr">
        <is>
          <t>CA+AA</t>
        </is>
      </c>
      <c r="F5" s="24" t="inlineStr">
        <is>
          <t>None</t>
        </is>
      </c>
      <c r="G5" s="24" t="inlineStr">
        <is>
          <t>C17459 → PROVEN ACCEPTED; effectiveTime optional confirmed</t>
        </is>
      </c>
      <c r="H5" s="24" t="inlineStr">
        <is>
          <t>291 elements; multiple untested changes bundled — not recommended practice</t>
        </is>
      </c>
    </row>
    <row r="6" ht="22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22" customHeight="1">
      <c r="A7" s="19" t="inlineStr"/>
      <c r="B7" s="19" t="inlineStr"/>
      <c r="C7" s="19" t="inlineStr"/>
      <c r="D7" s="19" t="inlineStr"/>
      <c r="E7" s="19" t="inlineStr"/>
      <c r="F7" s="19" t="inlineStr"/>
      <c r="G7" s="19" t="inlineStr"/>
      <c r="H7" s="19" t="inlineStr"/>
    </row>
    <row r="8" ht="22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22" customHeight="1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</row>
    <row r="10" ht="22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22" customHeight="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</row>
    <row r="12" ht="22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22" customHeight="1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</row>
    <row r="14" ht="22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22" customHeight="1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</row>
    <row r="16" ht="22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22" customHeight="1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</row>
    <row r="18" ht="22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22" customHeight="1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</row>
    <row r="20" ht="22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22" customHeight="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</row>
    <row r="22" ht="22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22" customHeight="1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</row>
    <row r="24" ht="22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22" customHeight="1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</row>
    <row r="26" ht="22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22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</row>
    <row r="28" ht="22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 ht="22" customHeight="1">
      <c r="A29" s="19" t="inlineStr"/>
      <c r="B29" s="19" t="inlineStr"/>
      <c r="C29" s="19" t="inlineStr"/>
      <c r="D29" s="19" t="inlineStr"/>
      <c r="E29" s="19" t="inlineStr"/>
      <c r="F29" s="19" t="inlineStr"/>
      <c r="G29" s="19" t="inlineStr"/>
      <c r="H29" s="19" t="inlineStr"/>
    </row>
    <row r="30" ht="22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22" customHeight="1">
      <c r="A31" s="19" t="inlineStr"/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</row>
    <row r="32" ht="22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22" customHeight="1">
      <c r="A33" s="19" t="inlineStr"/>
      <c r="B33" s="19" t="inlineStr"/>
      <c r="C33" s="19" t="inlineStr"/>
      <c r="D33" s="19" t="inlineStr"/>
      <c r="E33" s="19" t="inlineStr"/>
      <c r="F33" s="19" t="inlineStr"/>
      <c r="G33" s="19" t="inlineStr"/>
      <c r="H33" s="19" t="inlineStr"/>
    </row>
    <row r="34" ht="22" customHeight="1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 ht="22" customHeight="1">
      <c r="A35" s="19" t="inlineStr"/>
      <c r="B35" s="19" t="inlineStr"/>
      <c r="C35" s="19" t="inlineStr"/>
      <c r="D35" s="19" t="inlineStr"/>
      <c r="E35" s="19" t="inlineStr"/>
      <c r="F35" s="19" t="inlineStr"/>
      <c r="G35" s="19" t="inlineStr"/>
      <c r="H35" s="19" t="inlineStr"/>
    </row>
  </sheetData>
  <mergeCells count="1">
    <mergeCell ref="A1:H1"/>
  </mergeCells>
  <conditionalFormatting sqref="E3:E35">
    <cfRule type="containsText" priority="1" operator="containsText" dxfId="0" text="CA+AA">
      <formula>NOT(ISERROR(SEARCH("CA+AA",E3)))</formula>
    </cfRule>
    <cfRule type="containsText" priority="2" operator="containsText" dxfId="1" text="CR+AR">
      <formula>NOT(ISERROR(SEARCH("CR+AR",E3)))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2026-04-24T17:11:21Z</dcterms:created>
  <dcterms:modified xmlns:dcterms="http://purl.org/dc/terms/" xmlns:xsi="http://www.w3.org/2001/XMLSchema-instance" xsi:type="dcterms:W3CDTF">2026-04-24T17:11:21Z</dcterms:modified>
</cp:coreProperties>
</file>